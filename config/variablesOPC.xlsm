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taBox\Desktop\HMI Libre\1.-Canvas\PaginaVigilancia\"/>
    </mc:Choice>
  </mc:AlternateContent>
  <xr:revisionPtr revIDLastSave="0" documentId="8_{9E4686D4-3070-4798-ACB3-5DC5B53C3610}" xr6:coauthVersionLast="47" xr6:coauthVersionMax="47" xr10:uidLastSave="{00000000-0000-0000-0000-000000000000}"/>
  <bookViews>
    <workbookView xWindow="28680" yWindow="-120" windowWidth="21840" windowHeight="13140" activeTab="1" xr2:uid="{BF58630C-583D-264A-A157-458B35154DBD}"/>
  </bookViews>
  <sheets>
    <sheet name="OPC-UA Servers" sheetId="4" r:id="rId1"/>
    <sheet name="Nodes" sheetId="1" r:id="rId2"/>
  </sheets>
  <definedNames>
    <definedName name="_xlnm._FilterDatabase" localSheetId="1" hidden="1">Nodes!$D$1:$J$37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E5" i="4"/>
  <c r="D7" i="4"/>
  <c r="D6" i="4"/>
  <c r="D5" i="4"/>
  <c r="F5" i="4"/>
  <c r="F6" i="4"/>
  <c r="F7" i="4"/>
  <c r="D8" i="4" l="1"/>
</calcChain>
</file>

<file path=xl/sharedStrings.xml><?xml version="1.0" encoding="utf-8"?>
<sst xmlns="http://schemas.openxmlformats.org/spreadsheetml/2006/main" count="112" uniqueCount="38">
  <si>
    <t>nodeId</t>
  </si>
  <si>
    <t>name</t>
  </si>
  <si>
    <t>dataType</t>
  </si>
  <si>
    <t>read</t>
  </si>
  <si>
    <t>write</t>
  </si>
  <si>
    <t>ns=4;s=Activar</t>
  </si>
  <si>
    <t>ns=4;s=Desactivar</t>
  </si>
  <si>
    <t>desactivar</t>
  </si>
  <si>
    <t>ns=4;s=Batería</t>
  </si>
  <si>
    <t>ns=4;s=Reset</t>
  </si>
  <si>
    <t>bateria</t>
  </si>
  <si>
    <t>reset</t>
  </si>
  <si>
    <t>activarBoton</t>
  </si>
  <si>
    <t>nodeNumber</t>
  </si>
  <si>
    <t>Boolean</t>
  </si>
  <si>
    <t>Double</t>
  </si>
  <si>
    <t>Byte</t>
  </si>
  <si>
    <t>String</t>
  </si>
  <si>
    <t>Int</t>
  </si>
  <si>
    <t>Array</t>
  </si>
  <si>
    <t>serverOPC</t>
  </si>
  <si>
    <t>opc.tcp://192.168.100.1:4840</t>
  </si>
  <si>
    <t>opc.tcp://192.168.250.1:4840</t>
  </si>
  <si>
    <t>Float</t>
  </si>
  <si>
    <t>opc.tcp://DESKTOP-FFSB84P:48010</t>
  </si>
  <si>
    <t>temp</t>
  </si>
  <si>
    <t>ns=2;s=Demo.Dynamic.Scalar.Byte</t>
  </si>
  <si>
    <t>ns=2;s=Demo.Static.Scalar.Double</t>
  </si>
  <si>
    <t>ns=2;s=Demo.Static.Scalar.Boolean</t>
  </si>
  <si>
    <t>message</t>
  </si>
  <si>
    <t>connectServer</t>
  </si>
  <si>
    <t>OPC-UA SERVER URL</t>
  </si>
  <si>
    <t>-</t>
  </si>
  <si>
    <t>regerg</t>
  </si>
  <si>
    <t>erge</t>
  </si>
  <si>
    <t>NUMBER OF VARIABLES DEFINED</t>
  </si>
  <si>
    <t>NUMBER OF VARIABLES read</t>
  </si>
  <si>
    <t>NUMBER OF VARIABLES write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</si>
</sst>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0"/>
      <color theme="1"/>
      <name val="Montserrat Regular"/>
    </font>
    <font>
      <sz val="10"/>
      <color theme="1"/>
      <name val="Montserrat Regular"/>
    </font>
    <font>
      <sz val="10"/>
      <color rgb="FF000000"/>
      <name val="Montserrat Regular"/>
    </font>
    <font>
      <sz val="8"/>
      <name val="Calibri"/>
      <family val="2"/>
      <scheme val="minor"/>
    </font>
    <font>
      <sz val="11"/>
      <color theme="1"/>
      <name val="Montserrat"/>
    </font>
    <font>
      <b/>
      <sz val="11"/>
      <color theme="1"/>
      <name val="Montserrat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3" borderId="3" xfId="0" quotePrefix="1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" fontId="5" fillId="2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</xdr:row>
          <xdr:rowOff>85725</xdr:rowOff>
        </xdr:from>
        <xdr:to>
          <xdr:col>1</xdr:col>
          <xdr:colOff>2019300</xdr:colOff>
          <xdr:row>8</xdr:row>
          <xdr:rowOff>238125</xdr:rowOff>
        </xdr:to>
        <xdr:sp macro="" textlink="">
          <xdr:nvSpPr>
            <xdr:cNvPr id="1063" name="AddVariable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379B6-BBA5-46B7-B02D-E41FA7A0DA63}">
  <sheetPr codeName="Sheet2">
    <tabColor theme="0" tint="-0.14999847407452621"/>
  </sheetPr>
  <dimension ref="A3:AZ13"/>
  <sheetViews>
    <sheetView topLeftCell="B1" workbookViewId="0">
      <selection activeCell="E9" sqref="E9"/>
    </sheetView>
  </sheetViews>
  <sheetFormatPr defaultRowHeight="18" x14ac:dyDescent="0.25"/>
  <cols>
    <col min="1" max="2" width="9" style="1"/>
    <col min="3" max="3" width="44" style="24" customWidth="1"/>
    <col min="4" max="6" width="35" style="24" bestFit="1" customWidth="1"/>
    <col min="7" max="8" width="9" style="24"/>
    <col min="9" max="32" width="9" style="1"/>
    <col min="33" max="52" width="9" style="2"/>
  </cols>
  <sheetData>
    <row r="3" spans="3:6" ht="18.75" thickBot="1" x14ac:dyDescent="0.3"/>
    <row r="4" spans="3:6" ht="24.95" customHeight="1" thickBot="1" x14ac:dyDescent="0.3">
      <c r="C4" s="25" t="s">
        <v>31</v>
      </c>
      <c r="D4" s="25" t="s">
        <v>35</v>
      </c>
      <c r="E4" s="25" t="s">
        <v>36</v>
      </c>
      <c r="F4" s="25" t="s">
        <v>37</v>
      </c>
    </row>
    <row r="5" spans="3:6" ht="24.95" customHeight="1" x14ac:dyDescent="0.25">
      <c r="C5" s="27" t="s">
        <v>24</v>
      </c>
      <c r="D5" s="27">
        <f>COUNTIF(Nodes!E2:E37,C5)</f>
        <v>10</v>
      </c>
      <c r="E5" s="29">
        <f>COUNTIFS(Nodes!I2:I37,"1",Nodes!E2:E37,'OPC-UA Servers'!C5)</f>
        <v>5</v>
      </c>
      <c r="F5" s="27">
        <f>COUNTIF(Nodes!G2:G37,"opc.tcp://DESKTOP-FFSB84P:48010")</f>
        <v>0</v>
      </c>
    </row>
    <row r="6" spans="3:6" ht="24.95" customHeight="1" x14ac:dyDescent="0.25">
      <c r="C6" s="28" t="s">
        <v>21</v>
      </c>
      <c r="D6" s="27">
        <f>COUNTIF(Nodes!E2:E37,C6)</f>
        <v>13</v>
      </c>
      <c r="E6" s="29">
        <f>COUNTIFS(Nodes!I2:I37,"1",Nodes!E2:E37,'OPC-UA Servers'!C6)</f>
        <v>8</v>
      </c>
      <c r="F6" s="27">
        <f>COUNTIF(Nodes!G2:G37,"opc.tcp://192.168.100.1:4840")</f>
        <v>0</v>
      </c>
    </row>
    <row r="7" spans="3:6" ht="24.95" customHeight="1" x14ac:dyDescent="0.25">
      <c r="C7" s="28" t="s">
        <v>22</v>
      </c>
      <c r="D7" s="27">
        <f>COUNTIF(Nodes!E2:E37,C7)</f>
        <v>5</v>
      </c>
      <c r="E7" s="29">
        <f>COUNTIFS(Nodes!I2:I37,"1",Nodes!E2:E37,'OPC-UA Servers'!C7)</f>
        <v>3</v>
      </c>
      <c r="F7" s="27">
        <f>COUNTIF(Nodes!G2:G37,"opc.tcp://192.168.250.1:4840")</f>
        <v>0</v>
      </c>
    </row>
    <row r="8" spans="3:6" ht="24.95" customHeight="1" x14ac:dyDescent="0.25">
      <c r="D8" s="24">
        <f>SUM(D5:D7)</f>
        <v>28</v>
      </c>
    </row>
    <row r="9" spans="3:6" ht="24.95" customHeight="1" x14ac:dyDescent="0.25"/>
    <row r="10" spans="3:6" ht="24.95" customHeight="1" x14ac:dyDescent="0.25"/>
    <row r="11" spans="3:6" ht="24.95" customHeight="1" x14ac:dyDescent="0.25"/>
    <row r="12" spans="3:6" ht="24.95" customHeight="1" x14ac:dyDescent="0.25"/>
    <row r="13" spans="3:6" ht="24.95" customHeight="1" x14ac:dyDescent="0.25"/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3F6B-CBC3-E141-9930-4B9C75CBDB27}">
  <sheetPr codeName="Sheet1">
    <tabColor theme="6" tint="0.39997558519241921"/>
  </sheetPr>
  <dimension ref="A1:BM43"/>
  <sheetViews>
    <sheetView tabSelected="1" zoomScale="85" zoomScaleNormal="85" workbookViewId="0">
      <selection activeCell="R7" sqref="R7"/>
    </sheetView>
  </sheetViews>
  <sheetFormatPr defaultColWidth="11" defaultRowHeight="15.75" x14ac:dyDescent="0.25"/>
  <cols>
    <col min="1" max="1" width="10.875" style="2"/>
    <col min="2" max="2" width="34.75" style="2" customWidth="1"/>
    <col min="3" max="3" width="9.25" style="2" customWidth="1"/>
    <col min="4" max="4" width="14.5" style="1" customWidth="1"/>
    <col min="5" max="5" width="33.75" style="1" customWidth="1"/>
    <col min="6" max="6" width="34.875" style="22" customWidth="1"/>
    <col min="7" max="7" width="17" style="22" customWidth="1"/>
    <col min="8" max="8" width="11.875" style="1" customWidth="1"/>
    <col min="9" max="10" width="10.875" style="1"/>
    <col min="11" max="65" width="10.875" style="2"/>
  </cols>
  <sheetData>
    <row r="1" spans="2:10" ht="20.100000000000001" customHeight="1" thickBot="1" x14ac:dyDescent="0.3">
      <c r="B1" s="11" t="s">
        <v>30</v>
      </c>
      <c r="D1" s="11" t="s">
        <v>13</v>
      </c>
      <c r="E1" s="11" t="s">
        <v>20</v>
      </c>
      <c r="F1" s="11" t="s">
        <v>0</v>
      </c>
      <c r="G1" s="21" t="s">
        <v>1</v>
      </c>
      <c r="H1" s="11" t="s">
        <v>2</v>
      </c>
      <c r="I1" s="11" t="s">
        <v>3</v>
      </c>
      <c r="J1" s="11" t="s">
        <v>4</v>
      </c>
    </row>
    <row r="2" spans="2:10" ht="20.100000000000001" customHeight="1" thickBot="1" x14ac:dyDescent="0.3">
      <c r="B2" s="23" t="s">
        <v>24</v>
      </c>
      <c r="D2" s="26">
        <v>1</v>
      </c>
      <c r="E2" s="3" t="s">
        <v>21</v>
      </c>
      <c r="F2" s="5" t="s">
        <v>26</v>
      </c>
      <c r="G2" s="6" t="s">
        <v>25</v>
      </c>
      <c r="H2" s="3" t="s">
        <v>16</v>
      </c>
      <c r="I2" s="3">
        <v>1</v>
      </c>
      <c r="J2" s="4">
        <v>1</v>
      </c>
    </row>
    <row r="3" spans="2:10" ht="20.100000000000001" customHeight="1" thickBot="1" x14ac:dyDescent="0.3">
      <c r="D3" s="26">
        <v>2</v>
      </c>
      <c r="E3" s="9" t="s">
        <v>24</v>
      </c>
      <c r="F3" s="7" t="s">
        <v>27</v>
      </c>
      <c r="G3" s="8" t="s">
        <v>11</v>
      </c>
      <c r="H3" s="9" t="s">
        <v>14</v>
      </c>
      <c r="I3" s="9">
        <v>1</v>
      </c>
      <c r="J3" s="10">
        <v>0</v>
      </c>
    </row>
    <row r="4" spans="2:10" ht="20.100000000000001" customHeight="1" thickBot="1" x14ac:dyDescent="0.3">
      <c r="D4" s="26">
        <v>3</v>
      </c>
      <c r="E4" s="3" t="s">
        <v>24</v>
      </c>
      <c r="F4" s="5" t="s">
        <v>26</v>
      </c>
      <c r="G4" s="6" t="s">
        <v>10</v>
      </c>
      <c r="H4" s="3" t="s">
        <v>16</v>
      </c>
      <c r="I4" s="3">
        <v>1</v>
      </c>
      <c r="J4" s="4">
        <v>1</v>
      </c>
    </row>
    <row r="5" spans="2:10" ht="20.100000000000001" customHeight="1" thickBot="1" x14ac:dyDescent="0.3">
      <c r="D5" s="26">
        <v>4</v>
      </c>
      <c r="E5" s="9" t="s">
        <v>24</v>
      </c>
      <c r="F5" s="7" t="s">
        <v>28</v>
      </c>
      <c r="G5" s="8" t="s">
        <v>29</v>
      </c>
      <c r="H5" s="9" t="s">
        <v>14</v>
      </c>
      <c r="I5" s="9">
        <v>0</v>
      </c>
      <c r="J5" s="10">
        <v>1</v>
      </c>
    </row>
    <row r="6" spans="2:10" ht="20.100000000000001" customHeight="1" thickBot="1" x14ac:dyDescent="0.3">
      <c r="D6" s="26">
        <v>5</v>
      </c>
      <c r="E6" s="3" t="s">
        <v>22</v>
      </c>
      <c r="F6" s="5" t="s">
        <v>26</v>
      </c>
      <c r="G6" s="6" t="s">
        <v>25</v>
      </c>
      <c r="H6" s="3" t="s">
        <v>16</v>
      </c>
      <c r="I6" s="3">
        <v>1</v>
      </c>
      <c r="J6" s="4">
        <v>1</v>
      </c>
    </row>
    <row r="7" spans="2:10" ht="20.100000000000001" customHeight="1" thickBot="1" x14ac:dyDescent="0.3">
      <c r="D7" s="26">
        <v>6</v>
      </c>
      <c r="E7" s="9" t="s">
        <v>22</v>
      </c>
      <c r="F7" s="7" t="s">
        <v>8</v>
      </c>
      <c r="G7" s="8" t="s">
        <v>10</v>
      </c>
      <c r="H7" s="9" t="s">
        <v>17</v>
      </c>
      <c r="I7" s="9">
        <v>0</v>
      </c>
      <c r="J7" s="10">
        <v>0</v>
      </c>
    </row>
    <row r="8" spans="2:10" ht="20.100000000000001" customHeight="1" thickBot="1" x14ac:dyDescent="0.3">
      <c r="D8" s="26">
        <v>7</v>
      </c>
      <c r="E8" s="3" t="s">
        <v>21</v>
      </c>
      <c r="F8" s="5" t="s">
        <v>9</v>
      </c>
      <c r="G8" s="6" t="s">
        <v>11</v>
      </c>
      <c r="H8" s="3" t="s">
        <v>23</v>
      </c>
      <c r="I8" s="3">
        <v>1</v>
      </c>
      <c r="J8" s="4">
        <v>1</v>
      </c>
    </row>
    <row r="9" spans="2:10" ht="20.100000000000001" customHeight="1" thickBot="1" x14ac:dyDescent="0.3">
      <c r="D9" s="26">
        <v>8</v>
      </c>
      <c r="E9" s="9" t="s">
        <v>24</v>
      </c>
      <c r="F9" s="7" t="s">
        <v>6</v>
      </c>
      <c r="G9" s="8" t="s">
        <v>7</v>
      </c>
      <c r="H9" s="9" t="s">
        <v>16</v>
      </c>
      <c r="I9" s="9">
        <v>0</v>
      </c>
      <c r="J9" s="10">
        <v>1</v>
      </c>
    </row>
    <row r="10" spans="2:10" ht="20.100000000000001" customHeight="1" thickBot="1" x14ac:dyDescent="0.3">
      <c r="D10" s="26">
        <v>9</v>
      </c>
      <c r="E10" s="3" t="s">
        <v>21</v>
      </c>
      <c r="F10" s="5" t="s">
        <v>5</v>
      </c>
      <c r="G10" s="6" t="s">
        <v>12</v>
      </c>
      <c r="H10" s="3" t="s">
        <v>14</v>
      </c>
      <c r="I10" s="3">
        <v>1</v>
      </c>
      <c r="J10" s="4">
        <v>0</v>
      </c>
    </row>
    <row r="11" spans="2:10" ht="20.100000000000001" customHeight="1" thickBot="1" x14ac:dyDescent="0.3">
      <c r="D11" s="26">
        <v>10</v>
      </c>
      <c r="E11" s="9" t="s">
        <v>21</v>
      </c>
      <c r="F11" s="7" t="s">
        <v>6</v>
      </c>
      <c r="G11" s="8" t="s">
        <v>7</v>
      </c>
      <c r="H11" s="9" t="s">
        <v>14</v>
      </c>
      <c r="I11" s="9">
        <v>0</v>
      </c>
      <c r="J11" s="10">
        <v>1</v>
      </c>
    </row>
    <row r="12" spans="2:10" ht="20.100000000000001" customHeight="1" thickBot="1" x14ac:dyDescent="0.3">
      <c r="D12" s="26">
        <v>11</v>
      </c>
      <c r="E12" s="3" t="s">
        <v>24</v>
      </c>
      <c r="F12" s="5" t="s">
        <v>8</v>
      </c>
      <c r="G12" s="6" t="s">
        <v>10</v>
      </c>
      <c r="H12" s="3" t="s">
        <v>16</v>
      </c>
      <c r="I12" s="3">
        <v>1</v>
      </c>
      <c r="J12" s="4">
        <v>1</v>
      </c>
    </row>
    <row r="13" spans="2:10" ht="20.100000000000001" customHeight="1" thickBot="1" x14ac:dyDescent="0.3">
      <c r="D13" s="26">
        <v>12</v>
      </c>
      <c r="E13" s="9" t="s">
        <v>21</v>
      </c>
      <c r="F13" s="7" t="s">
        <v>9</v>
      </c>
      <c r="G13" s="8" t="s">
        <v>11</v>
      </c>
      <c r="H13" s="9" t="s">
        <v>14</v>
      </c>
      <c r="I13" s="9">
        <v>1</v>
      </c>
      <c r="J13" s="10">
        <v>1</v>
      </c>
    </row>
    <row r="14" spans="2:10" ht="20.100000000000001" customHeight="1" thickBot="1" x14ac:dyDescent="0.3">
      <c r="D14" s="26">
        <v>13</v>
      </c>
      <c r="E14" s="3" t="s">
        <v>22</v>
      </c>
      <c r="F14" s="5" t="s">
        <v>6</v>
      </c>
      <c r="G14" s="6" t="s">
        <v>7</v>
      </c>
      <c r="H14" s="3" t="s">
        <v>14</v>
      </c>
      <c r="I14" s="3">
        <v>0</v>
      </c>
      <c r="J14" s="4">
        <v>1</v>
      </c>
    </row>
    <row r="15" spans="2:10" ht="20.100000000000001" customHeight="1" thickBot="1" x14ac:dyDescent="0.3">
      <c r="D15" s="26">
        <v>14</v>
      </c>
      <c r="E15" s="9" t="s">
        <v>21</v>
      </c>
      <c r="F15" s="7" t="s">
        <v>8</v>
      </c>
      <c r="G15" s="8" t="s">
        <v>10</v>
      </c>
      <c r="H15" s="9" t="s">
        <v>14</v>
      </c>
      <c r="I15" s="9">
        <v>1</v>
      </c>
      <c r="J15" s="10">
        <v>1</v>
      </c>
    </row>
    <row r="16" spans="2:10" ht="20.100000000000001" customHeight="1" thickBot="1" x14ac:dyDescent="0.3">
      <c r="D16" s="26">
        <v>15</v>
      </c>
      <c r="E16" s="3" t="s">
        <v>24</v>
      </c>
      <c r="F16" s="5" t="s">
        <v>9</v>
      </c>
      <c r="G16" s="6" t="s">
        <v>11</v>
      </c>
      <c r="H16" s="3" t="s">
        <v>14</v>
      </c>
      <c r="I16" s="3">
        <v>1</v>
      </c>
      <c r="J16" s="4">
        <v>1</v>
      </c>
    </row>
    <row r="17" spans="4:10" ht="20.100000000000001" customHeight="1" thickBot="1" x14ac:dyDescent="0.3">
      <c r="D17" s="26">
        <v>16</v>
      </c>
      <c r="E17" s="9" t="s">
        <v>21</v>
      </c>
      <c r="F17" s="7" t="s">
        <v>6</v>
      </c>
      <c r="G17" s="8" t="s">
        <v>7</v>
      </c>
      <c r="H17" s="9" t="s">
        <v>14</v>
      </c>
      <c r="I17" s="9">
        <v>1</v>
      </c>
      <c r="J17" s="10">
        <v>1</v>
      </c>
    </row>
    <row r="18" spans="4:10" ht="20.100000000000001" customHeight="1" thickBot="1" x14ac:dyDescent="0.3">
      <c r="D18" s="26">
        <v>17</v>
      </c>
      <c r="E18" s="3" t="s">
        <v>22</v>
      </c>
      <c r="F18" s="12" t="s">
        <v>5</v>
      </c>
      <c r="G18" s="12" t="s">
        <v>12</v>
      </c>
      <c r="H18" s="3" t="s">
        <v>15</v>
      </c>
      <c r="I18" s="13">
        <v>1</v>
      </c>
      <c r="J18" s="14">
        <v>1</v>
      </c>
    </row>
    <row r="19" spans="4:10" ht="20.100000000000001" customHeight="1" thickBot="1" x14ac:dyDescent="0.3">
      <c r="D19" s="26">
        <v>18</v>
      </c>
      <c r="E19" s="9" t="s">
        <v>22</v>
      </c>
      <c r="F19" s="15" t="s">
        <v>6</v>
      </c>
      <c r="G19" s="15" t="s">
        <v>7</v>
      </c>
      <c r="H19" s="9" t="s">
        <v>14</v>
      </c>
      <c r="I19" s="16">
        <v>1</v>
      </c>
      <c r="J19" s="17">
        <v>1</v>
      </c>
    </row>
    <row r="20" spans="4:10" ht="20.100000000000001" customHeight="1" thickBot="1" x14ac:dyDescent="0.3">
      <c r="D20" s="26">
        <v>19</v>
      </c>
      <c r="E20" s="3" t="s">
        <v>21</v>
      </c>
      <c r="F20" s="18" t="s">
        <v>8</v>
      </c>
      <c r="G20" s="18" t="s">
        <v>10</v>
      </c>
      <c r="H20" s="3" t="s">
        <v>19</v>
      </c>
      <c r="I20" s="19">
        <v>1</v>
      </c>
      <c r="J20" s="20">
        <v>1</v>
      </c>
    </row>
    <row r="21" spans="4:10" ht="20.100000000000001" customHeight="1" thickBot="1" x14ac:dyDescent="0.3">
      <c r="D21" s="26">
        <v>20</v>
      </c>
      <c r="E21" s="9" t="s">
        <v>21</v>
      </c>
      <c r="F21" s="15" t="s">
        <v>9</v>
      </c>
      <c r="G21" s="15" t="s">
        <v>11</v>
      </c>
      <c r="H21" s="9" t="s">
        <v>18</v>
      </c>
      <c r="I21" s="16">
        <v>0</v>
      </c>
      <c r="J21" s="17">
        <v>1</v>
      </c>
    </row>
    <row r="22" spans="4:10" ht="20.100000000000001" customHeight="1" thickBot="1" x14ac:dyDescent="0.3">
      <c r="D22" s="26">
        <v>21</v>
      </c>
      <c r="E22" s="3" t="s">
        <v>24</v>
      </c>
      <c r="F22" s="5" t="s">
        <v>26</v>
      </c>
      <c r="G22" s="18" t="s">
        <v>10</v>
      </c>
      <c r="H22" s="3" t="s">
        <v>16</v>
      </c>
      <c r="I22" s="19">
        <v>1</v>
      </c>
      <c r="J22" s="20">
        <v>1</v>
      </c>
    </row>
    <row r="23" spans="4:10" ht="20.100000000000001" customHeight="1" thickBot="1" x14ac:dyDescent="0.3">
      <c r="D23" s="26">
        <v>22</v>
      </c>
      <c r="E23" s="3" t="s">
        <v>21</v>
      </c>
      <c r="F23" s="5"/>
      <c r="G23" s="18"/>
      <c r="H23" s="3" t="s">
        <v>15</v>
      </c>
      <c r="I23" s="19">
        <v>1</v>
      </c>
      <c r="J23" s="20">
        <v>1</v>
      </c>
    </row>
    <row r="24" spans="4:10" ht="20.100000000000001" customHeight="1" thickBot="1" x14ac:dyDescent="0.3">
      <c r="D24" s="26">
        <v>23</v>
      </c>
      <c r="E24" s="3" t="s">
        <v>24</v>
      </c>
      <c r="F24" s="5"/>
      <c r="G24" s="18"/>
      <c r="H24" s="3"/>
      <c r="I24" s="19"/>
      <c r="J24" s="20"/>
    </row>
    <row r="25" spans="4:10" ht="20.100000000000001" customHeight="1" thickBot="1" x14ac:dyDescent="0.3">
      <c r="D25" s="26">
        <v>24</v>
      </c>
      <c r="E25" s="3" t="s">
        <v>21</v>
      </c>
      <c r="F25" s="5"/>
      <c r="G25" s="18"/>
      <c r="H25" s="3"/>
      <c r="I25" s="19"/>
      <c r="J25" s="20"/>
    </row>
    <row r="26" spans="4:10" ht="20.100000000000001" customHeight="1" thickBot="1" x14ac:dyDescent="0.3">
      <c r="D26" s="26">
        <v>25</v>
      </c>
      <c r="E26" s="3" t="s">
        <v>21</v>
      </c>
      <c r="F26" s="5"/>
      <c r="G26" s="18"/>
      <c r="H26" s="3"/>
      <c r="I26" s="19"/>
      <c r="J26" s="20"/>
    </row>
    <row r="27" spans="4:10" ht="20.100000000000001" customHeight="1" thickBot="1" x14ac:dyDescent="0.3">
      <c r="D27" s="26">
        <v>26</v>
      </c>
      <c r="E27" s="3" t="s">
        <v>24</v>
      </c>
      <c r="F27" s="5" t="s">
        <v>33</v>
      </c>
      <c r="G27" s="18" t="s">
        <v>34</v>
      </c>
      <c r="H27" s="3" t="s">
        <v>15</v>
      </c>
      <c r="I27" s="19">
        <v>0</v>
      </c>
      <c r="J27" s="20">
        <v>1</v>
      </c>
    </row>
    <row r="28" spans="4:10" ht="20.100000000000001" customHeight="1" thickBot="1" x14ac:dyDescent="0.3">
      <c r="D28" s="26">
        <v>27</v>
      </c>
      <c r="E28" s="3" t="s">
        <v>21</v>
      </c>
      <c r="F28" s="5"/>
      <c r="G28" s="18"/>
      <c r="H28" s="3"/>
      <c r="I28" s="19"/>
      <c r="J28" s="20"/>
    </row>
    <row r="29" spans="4:10" ht="19.5" customHeight="1" thickBot="1" x14ac:dyDescent="0.3">
      <c r="D29" s="26">
        <v>28</v>
      </c>
      <c r="E29" s="3" t="s">
        <v>24</v>
      </c>
      <c r="F29" s="5"/>
      <c r="G29" s="18"/>
      <c r="H29" s="3"/>
      <c r="I29" s="19"/>
      <c r="J29" s="20"/>
    </row>
    <row r="30" spans="4:10" ht="19.5" customHeight="1" thickBot="1" x14ac:dyDescent="0.3">
      <c r="D30" s="26"/>
      <c r="E30" s="3"/>
      <c r="F30" s="5"/>
      <c r="G30" s="18"/>
      <c r="H30" s="3"/>
      <c r="I30" s="19"/>
      <c r="J30" s="20"/>
    </row>
    <row r="31" spans="4:10" ht="19.5" customHeight="1" thickBot="1" x14ac:dyDescent="0.3">
      <c r="D31" s="26"/>
      <c r="E31" s="3"/>
      <c r="F31" s="5"/>
      <c r="G31" s="18"/>
      <c r="H31" s="3"/>
      <c r="I31" s="19"/>
      <c r="J31" s="20"/>
    </row>
    <row r="32" spans="4:10" ht="19.5" customHeight="1" thickBot="1" x14ac:dyDescent="0.3">
      <c r="D32" s="26"/>
      <c r="E32" s="3"/>
      <c r="F32" s="5"/>
      <c r="G32" s="18"/>
      <c r="H32" s="3"/>
      <c r="I32" s="19"/>
      <c r="J32" s="20"/>
    </row>
    <row r="33" spans="4:10" ht="19.5" customHeight="1" thickBot="1" x14ac:dyDescent="0.3">
      <c r="D33" s="26"/>
      <c r="E33" s="3"/>
      <c r="F33" s="5"/>
      <c r="G33" s="18"/>
      <c r="H33" s="3"/>
      <c r="I33" s="19"/>
      <c r="J33" s="20"/>
    </row>
    <row r="34" spans="4:10" ht="19.5" customHeight="1" thickBot="1" x14ac:dyDescent="0.3">
      <c r="D34" s="26"/>
      <c r="E34" s="3"/>
      <c r="F34" s="5"/>
      <c r="G34" s="18"/>
      <c r="H34" s="3"/>
      <c r="I34" s="19"/>
      <c r="J34" s="20"/>
    </row>
    <row r="35" spans="4:10" ht="19.5" customHeight="1" thickBot="1" x14ac:dyDescent="0.3">
      <c r="D35" s="26"/>
      <c r="E35" s="3"/>
      <c r="F35" s="5"/>
      <c r="G35" s="18"/>
      <c r="H35" s="3"/>
      <c r="I35" s="19"/>
      <c r="J35" s="20"/>
    </row>
    <row r="36" spans="4:10" ht="19.5" customHeight="1" thickBot="1" x14ac:dyDescent="0.3">
      <c r="D36" s="26"/>
      <c r="E36" s="3"/>
      <c r="F36" s="5"/>
      <c r="G36" s="18"/>
      <c r="H36" s="3"/>
      <c r="I36" s="19"/>
      <c r="J36" s="20"/>
    </row>
    <row r="37" spans="4:10" ht="17.25" customHeight="1" thickBot="1" x14ac:dyDescent="0.3">
      <c r="D37" s="26" t="s">
        <v>32</v>
      </c>
      <c r="E37" s="3"/>
      <c r="F37" s="5"/>
      <c r="G37" s="18"/>
      <c r="H37" s="3"/>
      <c r="I37" s="19"/>
      <c r="J37" s="20"/>
    </row>
    <row r="38" spans="4:10" ht="21.75" customHeight="1" x14ac:dyDescent="0.25"/>
    <row r="39" spans="4:10" ht="20.100000000000001" customHeight="1" x14ac:dyDescent="0.25"/>
    <row r="40" spans="4:10" ht="20.100000000000001" customHeight="1" x14ac:dyDescent="0.25"/>
    <row r="41" spans="4:10" ht="20.100000000000001" customHeight="1" x14ac:dyDescent="0.25"/>
    <row r="42" spans="4:10" ht="20.100000000000001" customHeight="1" x14ac:dyDescent="0.25"/>
    <row r="43" spans="4:10" ht="20.100000000000001" customHeight="1" x14ac:dyDescent="0.25"/>
  </sheetData>
  <autoFilter ref="D1:J37" xr:uid="{33DB3F6B-CBC3-E141-9930-4B9C75CBDB27}"/>
  <phoneticPr fontId="4" type="noConversion"/>
  <conditionalFormatting sqref="D2:J37">
    <cfRule type="expression" dxfId="9" priority="11">
      <formula>$E2="opc.tcp://192.168.250.1:4840"</formula>
    </cfRule>
    <cfRule type="expression" dxfId="8" priority="12">
      <formula>$E2="opc.tcp://192.168.100.1:4840"</formula>
    </cfRule>
    <cfRule type="expression" dxfId="7" priority="13">
      <formula>$E2="opc.tcp://DESKTOP-FFSB84P:48010"</formula>
    </cfRule>
  </conditionalFormatting>
  <conditionalFormatting sqref="B2">
    <cfRule type="expression" dxfId="6" priority="5">
      <formula>$B$2="opc.tcp://192.168.250.1:4840"</formula>
    </cfRule>
    <cfRule type="expression" dxfId="5" priority="6">
      <formula>$B$2="opc.tcp://192.168.100.1:4840"</formula>
    </cfRule>
    <cfRule type="expression" dxfId="4" priority="7">
      <formula>$B$2="opc.tcp://DESKTOP-FFSB84P:48010"</formula>
    </cfRule>
  </conditionalFormatting>
  <conditionalFormatting sqref="I2:I37">
    <cfRule type="expression" dxfId="3" priority="3">
      <formula>$I2=0</formula>
    </cfRule>
    <cfRule type="expression" dxfId="2" priority="4">
      <formula>$I2=1</formula>
    </cfRule>
  </conditionalFormatting>
  <conditionalFormatting sqref="J2:J37">
    <cfRule type="expression" dxfId="1" priority="1">
      <formula>$J2=0</formula>
    </cfRule>
    <cfRule type="expression" dxfId="0" priority="2">
      <formula>$J2=1</formula>
    </cfRule>
  </conditionalFormatting>
  <dataValidations count="5">
    <dataValidation type="list" allowBlank="1" showInputMessage="1" showErrorMessage="1" sqref="C2" xr:uid="{1044DD10-2F9E-40FF-97D9-9037A1601FDD}">
      <formula1>"opc.tcp://192.168.100.1:4840,opc.tcp://DESKTOP-FFSB84P:48010,opc.tcp://192.168.250.1:4840"</formula1>
    </dataValidation>
    <dataValidation type="custom" allowBlank="1" showInputMessage="1" showErrorMessage="1" sqref="D2 D5 D8 D11 D14 D17 D20" xr:uid="{90904682-EC75-4DC8-B05E-D4FF01EBD419}">
      <formula1>$D2+1</formula1>
    </dataValidation>
    <dataValidation type="whole" allowBlank="1" showInputMessage="1" showErrorMessage="1" sqref="D3:D4 D6:D7 D9:D10 D12:D13 D15:D16 D18:D19 D21:D36" xr:uid="{A3132496-55A2-4202-9951-4FB0326877F2}">
      <formula1>$D2+1</formula1>
      <formula2>$D2+1</formula2>
    </dataValidation>
    <dataValidation type="list" allowBlank="1" showInputMessage="1" showErrorMessage="1" sqref="I2:J37" xr:uid="{4E6F673B-B809-42FA-9890-59E80687FF51}">
      <formula1>"0,1"</formula1>
    </dataValidation>
    <dataValidation type="list" allowBlank="1" showInputMessage="1" showErrorMessage="1" sqref="H2:H37" xr:uid="{DDFF3AD3-DEA7-4585-85D0-E295584D7515}">
      <formula1>"Boolean,String,Float,Double,Int,Array,Byte"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AddVariable">
          <controlPr defaultSize="0" autoLine="0" r:id="rId5">
            <anchor moveWithCells="1">
              <from>
                <xdr:col>1</xdr:col>
                <xdr:colOff>400050</xdr:colOff>
                <xdr:row>7</xdr:row>
                <xdr:rowOff>85725</xdr:rowOff>
              </from>
              <to>
                <xdr:col>1</xdr:col>
                <xdr:colOff>2019300</xdr:colOff>
                <xdr:row>8</xdr:row>
                <xdr:rowOff>238125</xdr:rowOff>
              </to>
            </anchor>
          </controlPr>
        </control>
      </mc:Choice>
      <mc:Fallback>
        <control shapeId="1063" r:id="rId4" name="AddVari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EE2781-4F2D-4138-ABD4-94DE082BF280}">
          <x14:formula1>
            <xm:f>'OPC-UA Servers'!$C$5:$C$11</xm:f>
          </x14:formula1>
          <xm:sqref>B2 E2:E37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OPC-UA Servers</vt:lpstr>
      <vt:lpstr>Nodes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Iñigo de la Puente</dc:creator>
  <cp:lastModifiedBy>DataBox</cp:lastModifiedBy>
  <dcterms:created xsi:type="dcterms:W3CDTF">2021-09-07T20:23:36Z</dcterms:created>
  <dcterms:modified xsi:type="dcterms:W3CDTF">2021-09-08T13:30:28Z</dcterms:modified>
</cp:coreProperties>
</file>